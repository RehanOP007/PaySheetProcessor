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ew user\Downloads\"/>
    </mc:Choice>
  </mc:AlternateContent>
  <xr:revisionPtr revIDLastSave="0" documentId="13_ncr:1_{595CC450-FFD8-47F6-98BF-992885C23A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" sheetId="1" r:id="rId1"/>
  </sheets>
  <definedNames>
    <definedName name="_xlnm._FilterDatabase" localSheetId="0" hidden="1">'2026'!$A$2:$AX$4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3" i="1" l="1"/>
  <c r="Z4" i="1"/>
  <c r="Z3" i="1"/>
  <c r="L4" i="1" l="1"/>
  <c r="P4" i="1" s="1"/>
  <c r="AA4" i="1"/>
  <c r="AB4" i="1"/>
  <c r="AC4" i="1"/>
  <c r="AD4" i="1"/>
  <c r="AE4" i="1"/>
  <c r="AF4" i="1"/>
  <c r="AG4" i="1"/>
  <c r="AI4" i="1"/>
  <c r="AJ4" i="1"/>
  <c r="AK4" i="1"/>
  <c r="AL4" i="1"/>
  <c r="AP4" i="1" l="1"/>
  <c r="AS4" i="1"/>
  <c r="AQ4" i="1"/>
  <c r="V4" i="1"/>
  <c r="W4" i="1" s="1"/>
  <c r="AH4" i="1"/>
  <c r="AM4" i="1" s="1"/>
  <c r="AR4" i="1" l="1"/>
  <c r="AV4" i="1"/>
  <c r="AW4" i="1" s="1"/>
  <c r="AN4" i="1"/>
  <c r="AT4" i="1" s="1"/>
  <c r="AU4" i="1" l="1"/>
  <c r="AK3" i="1" l="1"/>
  <c r="AG3" i="1" l="1"/>
  <c r="AJ3" i="1" l="1"/>
  <c r="AI3" i="1" l="1"/>
  <c r="AD3" i="1" l="1"/>
  <c r="L3" i="1"/>
  <c r="P3" i="1" l="1"/>
  <c r="V3" i="1" l="1"/>
  <c r="W3" i="1" s="1"/>
  <c r="AH3" i="1"/>
  <c r="AF3" i="1" l="1"/>
  <c r="AE3" i="1"/>
  <c r="AB3" i="1" l="1"/>
  <c r="AC3" i="1"/>
  <c r="AA3" i="1"/>
  <c r="AM3" i="1" l="1"/>
  <c r="AP3" i="1"/>
  <c r="AQ3" i="1"/>
  <c r="AS3" i="1"/>
  <c r="AN3" i="1" l="1"/>
  <c r="AO3" i="1" s="1"/>
  <c r="AT3" i="1" l="1"/>
  <c r="AR3" i="1"/>
  <c r="AV3" i="1" l="1"/>
  <c r="AW3" i="1" s="1"/>
  <c r="AU3" i="1"/>
</calcChain>
</file>

<file path=xl/sharedStrings.xml><?xml version="1.0" encoding="utf-8"?>
<sst xmlns="http://schemas.openxmlformats.org/spreadsheetml/2006/main" count="58" uniqueCount="52">
  <si>
    <t>Base Package</t>
  </si>
  <si>
    <t>EXTRAS</t>
  </si>
  <si>
    <t>TOTAL</t>
  </si>
  <si>
    <t>Emp Number</t>
  </si>
  <si>
    <t>Name</t>
  </si>
  <si>
    <t>Team</t>
  </si>
  <si>
    <t>Responsibility</t>
  </si>
  <si>
    <t>Role</t>
  </si>
  <si>
    <t>Date Appointment</t>
  </si>
  <si>
    <t>Basic</t>
  </si>
  <si>
    <t>Meal Allw</t>
  </si>
  <si>
    <t>Travel  Allw</t>
  </si>
  <si>
    <t>Total Package</t>
  </si>
  <si>
    <t>US Shift</t>
  </si>
  <si>
    <t>Vehicle Loan Allw</t>
  </si>
  <si>
    <t>Perform Allw</t>
  </si>
  <si>
    <t>Poya Pay</t>
  </si>
  <si>
    <t>Health and Wellness</t>
  </si>
  <si>
    <t>Team Profit Share</t>
  </si>
  <si>
    <t>Boarding Allowance</t>
  </si>
  <si>
    <t>Special Traveling &amp; Meal Reimbursements</t>
  </si>
  <si>
    <t>Reimbursements</t>
  </si>
  <si>
    <t>Total Extras</t>
  </si>
  <si>
    <t>DAYS for the Month</t>
  </si>
  <si>
    <t>NoPAY</t>
  </si>
  <si>
    <t>Paid DAYS</t>
  </si>
  <si>
    <t>Meal Reim</t>
  </si>
  <si>
    <t>Travel Reim</t>
  </si>
  <si>
    <t>US Shift Allowance</t>
  </si>
  <si>
    <t>Vehicle Allw</t>
  </si>
  <si>
    <t>Perform All</t>
  </si>
  <si>
    <t>Profit Share</t>
  </si>
  <si>
    <t>Total</t>
  </si>
  <si>
    <t>Taxable</t>
  </si>
  <si>
    <t>Tax on Tax</t>
  </si>
  <si>
    <t>Company EPF (12%)</t>
  </si>
  <si>
    <t>Epf 8% (Employee)</t>
  </si>
  <si>
    <t>EPF Tot</t>
  </si>
  <si>
    <t>Company ETF 3%</t>
  </si>
  <si>
    <t>Salary Take Home</t>
  </si>
  <si>
    <t>Cost to Company</t>
  </si>
  <si>
    <t>MGMT</t>
  </si>
  <si>
    <t>Old AR</t>
  </si>
  <si>
    <t>Posting</t>
  </si>
  <si>
    <t>SL</t>
  </si>
  <si>
    <t>Hi-Tech Verification</t>
  </si>
  <si>
    <t>General Training</t>
  </si>
  <si>
    <t>AAAA</t>
  </si>
  <si>
    <t>BBBB</t>
  </si>
  <si>
    <t>CRCM001</t>
  </si>
  <si>
    <t>CRCM002</t>
  </si>
  <si>
    <t>Changing month to month most of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</si>
</sst>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[Red]#,##0.00"/>
    <numFmt numFmtId="165" formatCode="#,##0.0"/>
    <numFmt numFmtId="166" formatCode="&quot;$&quot;#,##0.00"/>
    <numFmt numFmtId="167" formatCode="000000000000"/>
    <numFmt numFmtId="168" formatCode="[$-409]d/mmm/yyyy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imes New Roman"/>
      <family val="1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FF66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59">
    <xf numFmtId="0" fontId="0" fillId="0" borderId="0" xfId="0"/>
    <xf numFmtId="0" fontId="0" fillId="0" borderId="0" xfId="0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0" xfId="0" applyAlignment="1">
      <alignment horizontal="center" vertical="center"/>
    </xf>
    <xf numFmtId="1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3" fontId="2" fillId="4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39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168" fontId="0" fillId="2" borderId="2" xfId="0" applyNumberFormat="1" applyFill="1" applyBorder="1" applyAlignment="1">
      <alignment vertical="center"/>
    </xf>
    <xf numFmtId="168" fontId="1" fillId="3" borderId="3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vertical="center"/>
    </xf>
    <xf numFmtId="3" fontId="1" fillId="3" borderId="4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1" fontId="3" fillId="0" borderId="6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8" fontId="3" fillId="0" borderId="7" xfId="0" applyNumberFormat="1" applyFont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3" fontId="3" fillId="0" borderId="6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vertical="center"/>
    </xf>
    <xf numFmtId="164" fontId="3" fillId="0" borderId="6" xfId="0" applyNumberFormat="1" applyFont="1" applyBorder="1" applyAlignment="1">
      <alignment vertical="center"/>
    </xf>
    <xf numFmtId="39" fontId="3" fillId="0" borderId="6" xfId="0" applyNumberFormat="1" applyFont="1" applyBorder="1" applyAlignment="1">
      <alignment vertical="center"/>
    </xf>
    <xf numFmtId="166" fontId="3" fillId="0" borderId="6" xfId="0" applyNumberFormat="1" applyFont="1" applyBorder="1" applyAlignment="1">
      <alignment vertical="center"/>
    </xf>
    <xf numFmtId="167" fontId="5" fillId="0" borderId="0" xfId="0" applyNumberFormat="1" applyFont="1" applyProtection="1">
      <protection locked="0"/>
    </xf>
    <xf numFmtId="3" fontId="2" fillId="5" borderId="3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vertical="center"/>
    </xf>
    <xf numFmtId="3" fontId="1" fillId="7" borderId="3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3" fontId="1" fillId="3" borderId="3" xfId="0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vertical="center"/>
    </xf>
    <xf numFmtId="39" fontId="0" fillId="6" borderId="2" xfId="0" applyNumberFormat="1" applyFill="1" applyBorder="1" applyAlignment="1">
      <alignment vertical="center"/>
    </xf>
    <xf numFmtId="3" fontId="2" fillId="6" borderId="3" xfId="0" applyNumberFormat="1" applyFont="1" applyFill="1" applyBorder="1" applyAlignment="1">
      <alignment horizontal="center" vertical="center"/>
    </xf>
    <xf numFmtId="39" fontId="2" fillId="6" borderId="3" xfId="0" applyNumberFormat="1" applyFont="1" applyFill="1" applyBorder="1" applyAlignment="1">
      <alignment horizontal="center" vertical="center"/>
    </xf>
    <xf numFmtId="39" fontId="0" fillId="8" borderId="2" xfId="0" applyNumberFormat="1" applyFill="1" applyBorder="1" applyAlignment="1">
      <alignment vertical="center"/>
    </xf>
    <xf numFmtId="0" fontId="0" fillId="8" borderId="0" xfId="0" applyFill="1" applyAlignment="1">
      <alignment vertical="center"/>
    </xf>
    <xf numFmtId="164" fontId="6" fillId="3" borderId="2" xfId="0" applyNumberFormat="1" applyFont="1" applyFill="1" applyBorder="1" applyAlignment="1">
      <alignment vertical="center"/>
    </xf>
    <xf numFmtId="39" fontId="6" fillId="3" borderId="2" xfId="0" applyNumberFormat="1" applyFont="1" applyFill="1" applyBorder="1" applyAlignment="1">
      <alignment vertical="center"/>
    </xf>
    <xf numFmtId="164" fontId="1" fillId="3" borderId="3" xfId="0" applyNumberFormat="1" applyFont="1" applyFill="1" applyBorder="1" applyAlignment="1">
      <alignment horizontal="center" vertical="center"/>
    </xf>
    <xf numFmtId="39" fontId="1" fillId="3" borderId="3" xfId="0" applyNumberFormat="1" applyFont="1" applyFill="1" applyBorder="1" applyAlignment="1">
      <alignment horizontal="center" vertical="center"/>
    </xf>
    <xf numFmtId="166" fontId="3" fillId="9" borderId="8" xfId="0" applyNumberFormat="1" applyFont="1" applyFill="1" applyBorder="1" applyAlignment="1">
      <alignment vertical="center"/>
    </xf>
    <xf numFmtId="3" fontId="4" fillId="5" borderId="3" xfId="0" applyNumberFormat="1" applyFont="1" applyFill="1" applyBorder="1" applyAlignment="1">
      <alignment horizontal="center" vertical="center" wrapText="1"/>
    </xf>
    <xf numFmtId="164" fontId="3" fillId="0" borderId="8" xfId="0" applyNumberFormat="1" applyFont="1" applyBorder="1" applyAlignment="1">
      <alignment vertical="center"/>
    </xf>
    <xf numFmtId="166" fontId="3" fillId="0" borderId="8" xfId="0" applyNumberFormat="1" applyFont="1" applyBorder="1" applyAlignment="1">
      <alignment vertical="center"/>
    </xf>
    <xf numFmtId="4" fontId="0" fillId="10" borderId="2" xfId="0" applyNumberFormat="1" applyFill="1" applyBorder="1" applyAlignment="1">
      <alignment vertical="center"/>
    </xf>
    <xf numFmtId="4" fontId="2" fillId="10" borderId="10" xfId="0" applyNumberFormat="1" applyFont="1" applyFill="1" applyBorder="1" applyAlignment="1">
      <alignment horizontal="center" vertical="center"/>
    </xf>
    <xf numFmtId="4" fontId="2" fillId="0" borderId="6" xfId="0" applyNumberFormat="1" applyFont="1" applyBorder="1"/>
    <xf numFmtId="0" fontId="2" fillId="0" borderId="1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3" fontId="2" fillId="8" borderId="4" xfId="0" applyNumberFormat="1" applyFont="1" applyFill="1" applyBorder="1" applyAlignment="1">
      <alignment horizontal="center" vertical="center"/>
    </xf>
    <xf numFmtId="3" fontId="2" fillId="8" borderId="5" xfId="0" applyNumberFormat="1" applyFont="1" applyFill="1" applyBorder="1" applyAlignment="1">
      <alignment horizontal="center" vertical="center"/>
    </xf>
    <xf numFmtId="39" fontId="2" fillId="8" borderId="4" xfId="0" applyNumberFormat="1" applyFont="1" applyFill="1" applyBorder="1" applyAlignment="1">
      <alignment horizontal="center" vertical="center"/>
    </xf>
    <xf numFmtId="39" fontId="2" fillId="8" borderId="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A4C390AA-677B-4471-B0FA-5CA41A7D08EB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CCCC"/>
      <color rgb="FFFFFF99"/>
      <color rgb="FFFFCCFF"/>
      <color rgb="FF99FF66"/>
      <color rgb="FFCC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X5"/>
  <sheetViews>
    <sheetView showGridLines="0" tabSelected="1" zoomScale="80" zoomScaleNormal="90" workbookViewId="0">
      <pane xSplit="8" ySplit="2" topLeftCell="N3" activePane="bottomRight" state="frozen"/>
      <selection pane="topRight" activeCell="I1" sqref="I1"/>
      <selection pane="bottomLeft" activeCell="A3" sqref="A3"/>
      <selection pane="bottomRight" activeCell="R18" sqref="R18"/>
    </sheetView>
  </sheetViews>
  <sheetFormatPr defaultColWidth="9.109375" defaultRowHeight="14.4" x14ac:dyDescent="0.3"/>
  <cols>
    <col min="1" max="1" width="17.6640625" style="8" bestFit="1" customWidth="1"/>
    <col min="2" max="2" width="11.6640625" style="1" bestFit="1" customWidth="1"/>
    <col min="3" max="3" width="20.6640625" style="1" hidden="1" customWidth="1"/>
    <col min="4" max="4" width="22.44140625" style="1" hidden="1" customWidth="1"/>
    <col min="5" max="5" width="4.88671875" style="1" hidden="1" customWidth="1"/>
    <col min="6" max="6" width="19.109375" style="1" hidden="1" customWidth="1"/>
    <col min="7" max="7" width="16.88671875" style="1" hidden="1" customWidth="1"/>
    <col min="8" max="8" width="17" style="14" hidden="1" customWidth="1"/>
    <col min="9" max="9" width="12.6640625" style="1" bestFit="1" customWidth="1"/>
    <col min="10" max="10" width="14.6640625" style="1" bestFit="1" customWidth="1"/>
    <col min="11" max="11" width="16.109375" style="1" bestFit="1" customWidth="1"/>
    <col min="12" max="12" width="17.88671875" style="1" bestFit="1" customWidth="1"/>
    <col min="13" max="13" width="12.6640625" style="1" bestFit="1" customWidth="1"/>
    <col min="14" max="14" width="21.44140625" style="1" bestFit="1" customWidth="1"/>
    <col min="15" max="15" width="17.5546875" style="1" bestFit="1" customWidth="1"/>
    <col min="16" max="16" width="13.6640625" style="1" bestFit="1" customWidth="1"/>
    <col min="17" max="17" width="24.33203125" style="1" bestFit="1" customWidth="1"/>
    <col min="18" max="18" width="21.6640625" style="1" bestFit="1" customWidth="1"/>
    <col min="19" max="19" width="23.44140625" style="1" bestFit="1" customWidth="1"/>
    <col min="20" max="20" width="37.33203125" style="16" customWidth="1"/>
    <col min="21" max="21" width="21.33203125" style="1" bestFit="1" customWidth="1"/>
    <col min="22" max="22" width="16.109375" style="1" bestFit="1" customWidth="1"/>
    <col min="23" max="23" width="13.6640625" style="1" bestFit="1" customWidth="1"/>
    <col min="24" max="24" width="23.6640625" style="1" bestFit="1" customWidth="1"/>
    <col min="25" max="25" width="12" style="1" bestFit="1" customWidth="1"/>
    <col min="26" max="26" width="14.88671875" style="1" bestFit="1" customWidth="1"/>
    <col min="27" max="27" width="12.6640625" style="9" bestFit="1" customWidth="1"/>
    <col min="28" max="28" width="15.5546875" style="10" bestFit="1" customWidth="1"/>
    <col min="29" max="29" width="16.44140625" style="10" bestFit="1" customWidth="1"/>
    <col min="30" max="30" width="22.44140625" style="10" bestFit="1" customWidth="1"/>
    <col min="31" max="31" width="16.6640625" style="10" bestFit="1" customWidth="1"/>
    <col min="32" max="32" width="15.88671875" style="9" bestFit="1" customWidth="1"/>
    <col min="33" max="33" width="16.33203125" style="10" bestFit="1" customWidth="1"/>
    <col min="34" max="34" width="13.6640625" style="9" bestFit="1" customWidth="1"/>
    <col min="35" max="35" width="24.33203125" style="1" bestFit="1" customWidth="1"/>
    <col min="36" max="36" width="23.44140625" style="1" bestFit="1" customWidth="1"/>
    <col min="37" max="37" width="43.6640625" style="1" bestFit="1" customWidth="1"/>
    <col min="38" max="38" width="21.33203125" style="10" bestFit="1" customWidth="1"/>
    <col min="39" max="40" width="13.6640625" style="1" bestFit="1" customWidth="1"/>
    <col min="41" max="41" width="15.33203125" style="11" bestFit="1" customWidth="1"/>
    <col min="42" max="42" width="23.33203125" style="1" bestFit="1" customWidth="1"/>
    <col min="43" max="43" width="22.33203125" style="10" bestFit="1" customWidth="1"/>
    <col min="44" max="44" width="12.6640625" style="10" bestFit="1" customWidth="1"/>
    <col min="45" max="45" width="20.88671875" style="1" bestFit="1" customWidth="1"/>
    <col min="46" max="46" width="14.5546875" style="10" bestFit="1" customWidth="1"/>
    <col min="47" max="47" width="11.109375" style="10" bestFit="1" customWidth="1"/>
    <col min="48" max="48" width="15.6640625" style="1" customWidth="1"/>
    <col min="49" max="49" width="15.109375" style="1" customWidth="1"/>
    <col min="50" max="50" width="9.5546875" style="1" customWidth="1"/>
    <col min="51" max="16384" width="9.109375" style="1"/>
  </cols>
  <sheetData>
    <row r="1" spans="1:50" ht="15" thickBot="1" x14ac:dyDescent="0.35">
      <c r="A1" s="2"/>
      <c r="B1" s="3"/>
      <c r="C1" s="3"/>
      <c r="D1" s="3"/>
      <c r="E1" s="3"/>
      <c r="F1" s="3"/>
      <c r="G1" s="3"/>
      <c r="H1" s="12"/>
      <c r="I1" s="51" t="s">
        <v>0</v>
      </c>
      <c r="J1" s="51"/>
      <c r="K1" s="51"/>
      <c r="L1" s="51"/>
      <c r="M1" s="56" t="s">
        <v>1</v>
      </c>
      <c r="N1" s="56"/>
      <c r="O1" s="56"/>
      <c r="P1" s="56"/>
      <c r="Q1" s="56"/>
      <c r="R1" s="56"/>
      <c r="S1" s="56"/>
      <c r="T1" s="56"/>
      <c r="U1" s="56"/>
      <c r="V1" s="56"/>
      <c r="W1" s="57" t="s">
        <v>2</v>
      </c>
      <c r="X1" s="29"/>
      <c r="Y1" s="29"/>
      <c r="Z1" s="29"/>
      <c r="AA1" s="39"/>
      <c r="AB1" s="40"/>
      <c r="AC1" s="40"/>
      <c r="AD1" s="40"/>
      <c r="AE1" s="40"/>
      <c r="AF1" s="39"/>
      <c r="AG1" s="40"/>
      <c r="AH1" s="39"/>
      <c r="AI1" s="39"/>
      <c r="AJ1" s="39"/>
      <c r="AK1" s="39"/>
      <c r="AL1" s="40"/>
      <c r="AM1" s="31"/>
      <c r="AN1" s="3"/>
      <c r="AO1" s="47"/>
      <c r="AP1" s="33"/>
      <c r="AQ1" s="34"/>
      <c r="AR1" s="34"/>
      <c r="AS1" s="34"/>
      <c r="AT1" s="37"/>
      <c r="AU1" s="37"/>
      <c r="AV1" s="37"/>
      <c r="AW1" s="38"/>
    </row>
    <row r="2" spans="1:50" s="4" customFormat="1" ht="37.5" customHeight="1" x14ac:dyDescent="0.3">
      <c r="A2" s="5" t="s">
        <v>3</v>
      </c>
      <c r="B2" s="6" t="s">
        <v>4</v>
      </c>
      <c r="C2" s="6" t="s">
        <v>5</v>
      </c>
      <c r="D2" s="6" t="s">
        <v>6</v>
      </c>
      <c r="E2" s="6"/>
      <c r="F2" s="6" t="s">
        <v>7</v>
      </c>
      <c r="G2" s="6"/>
      <c r="H2" s="13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28" t="s">
        <v>13</v>
      </c>
      <c r="N2" s="28" t="s">
        <v>14</v>
      </c>
      <c r="O2" s="28" t="s">
        <v>15</v>
      </c>
      <c r="P2" s="28" t="s">
        <v>16</v>
      </c>
      <c r="Q2" s="28" t="s">
        <v>17</v>
      </c>
      <c r="R2" s="28" t="s">
        <v>18</v>
      </c>
      <c r="S2" s="28" t="s">
        <v>19</v>
      </c>
      <c r="T2" s="44" t="s">
        <v>20</v>
      </c>
      <c r="U2" s="28" t="s">
        <v>21</v>
      </c>
      <c r="V2" s="28" t="s">
        <v>22</v>
      </c>
      <c r="W2" s="58"/>
      <c r="X2" s="30" t="s">
        <v>23</v>
      </c>
      <c r="Y2" s="30" t="s">
        <v>24</v>
      </c>
      <c r="Z2" s="30" t="s">
        <v>25</v>
      </c>
      <c r="AA2" s="41" t="s">
        <v>9</v>
      </c>
      <c r="AB2" s="42" t="s">
        <v>26</v>
      </c>
      <c r="AC2" s="42" t="s">
        <v>27</v>
      </c>
      <c r="AD2" s="42" t="s">
        <v>28</v>
      </c>
      <c r="AE2" s="32" t="s">
        <v>29</v>
      </c>
      <c r="AF2" s="41" t="s">
        <v>30</v>
      </c>
      <c r="AG2" s="42" t="s">
        <v>31</v>
      </c>
      <c r="AH2" s="41" t="s">
        <v>16</v>
      </c>
      <c r="AI2" s="41" t="s">
        <v>17</v>
      </c>
      <c r="AJ2" s="41" t="s">
        <v>19</v>
      </c>
      <c r="AK2" s="41" t="s">
        <v>20</v>
      </c>
      <c r="AL2" s="42" t="s">
        <v>21</v>
      </c>
      <c r="AM2" s="32" t="s">
        <v>32</v>
      </c>
      <c r="AN2" s="15" t="s">
        <v>33</v>
      </c>
      <c r="AO2" s="48" t="s">
        <v>34</v>
      </c>
      <c r="AP2" s="35" t="s">
        <v>35</v>
      </c>
      <c r="AQ2" s="36" t="s">
        <v>36</v>
      </c>
      <c r="AR2" s="36" t="s">
        <v>37</v>
      </c>
      <c r="AS2" s="35" t="s">
        <v>38</v>
      </c>
      <c r="AT2" s="54" t="s">
        <v>39</v>
      </c>
      <c r="AU2" s="55"/>
      <c r="AV2" s="52" t="s">
        <v>40</v>
      </c>
      <c r="AW2" s="53"/>
    </row>
    <row r="3" spans="1:50" s="16" customFormat="1" ht="15" customHeight="1" x14ac:dyDescent="0.3">
      <c r="A3" s="17" t="s">
        <v>49</v>
      </c>
      <c r="B3" s="18" t="s">
        <v>47</v>
      </c>
      <c r="C3" s="18" t="s">
        <v>46</v>
      </c>
      <c r="D3" s="18" t="s">
        <v>42</v>
      </c>
      <c r="E3" s="18" t="s">
        <v>41</v>
      </c>
      <c r="F3" s="18"/>
      <c r="G3" s="18"/>
      <c r="H3" s="19">
        <v>42478</v>
      </c>
      <c r="I3" s="20">
        <v>40000</v>
      </c>
      <c r="J3" s="20">
        <v>10000</v>
      </c>
      <c r="K3" s="20">
        <v>50000</v>
      </c>
      <c r="L3" s="21">
        <f t="shared" ref="L3:L4" si="0">SUM(I3:K3)</f>
        <v>100000</v>
      </c>
      <c r="M3" s="20">
        <v>10000</v>
      </c>
      <c r="N3" s="21">
        <v>30000</v>
      </c>
      <c r="O3" s="21">
        <v>10000</v>
      </c>
      <c r="P3" s="21">
        <f t="shared" ref="P3:P4" si="1">INT(L3/62)</f>
        <v>1612</v>
      </c>
      <c r="Q3" s="21">
        <v>10000</v>
      </c>
      <c r="R3" s="20">
        <v>17378</v>
      </c>
      <c r="S3" s="20">
        <v>10000</v>
      </c>
      <c r="T3" s="20">
        <v>60000</v>
      </c>
      <c r="U3" s="21">
        <v>10000</v>
      </c>
      <c r="V3" s="21">
        <f t="shared" ref="V3:V4" si="2">SUM(M3:U3)</f>
        <v>158990</v>
      </c>
      <c r="W3" s="21">
        <f t="shared" ref="W3:W4" si="3">L3+V3</f>
        <v>258990</v>
      </c>
      <c r="X3" s="22">
        <v>31</v>
      </c>
      <c r="Y3" s="23">
        <v>1000</v>
      </c>
      <c r="Z3" s="23">
        <f>X3-Y3</f>
        <v>-969</v>
      </c>
      <c r="AA3" s="24">
        <f t="shared" ref="AA3:AA4" si="4">(I3/X3)*Z3</f>
        <v>-1250322.5806451612</v>
      </c>
      <c r="AB3" s="25">
        <f t="shared" ref="AB3:AB4" si="5">(J3/X3)*Z3</f>
        <v>-312580.6451612903</v>
      </c>
      <c r="AC3" s="25">
        <f t="shared" ref="AC3:AC4" si="6">(K3/X3)*Z3</f>
        <v>-1562903.2258064516</v>
      </c>
      <c r="AD3" s="25">
        <f t="shared" ref="AD3:AD4" si="7">(M3/X3)*Z3</f>
        <v>-312580.6451612903</v>
      </c>
      <c r="AE3" s="25">
        <f t="shared" ref="AE3:AE4" si="8">N3</f>
        <v>30000</v>
      </c>
      <c r="AF3" s="24">
        <f t="shared" ref="AF3:AF4" si="9">O3</f>
        <v>10000</v>
      </c>
      <c r="AG3" s="25">
        <f t="shared" ref="AG3:AG4" si="10">R3</f>
        <v>17378</v>
      </c>
      <c r="AH3" s="24">
        <f t="shared" ref="AH3:AH4" si="11">P3</f>
        <v>1612</v>
      </c>
      <c r="AI3" s="21">
        <f t="shared" ref="AI3:AI4" si="12">Q3</f>
        <v>10000</v>
      </c>
      <c r="AJ3" s="21">
        <f t="shared" ref="AJ3:AJ4" si="13">S3</f>
        <v>10000</v>
      </c>
      <c r="AK3" s="21">
        <f t="shared" ref="AK3:AK4" si="14">T3</f>
        <v>60000</v>
      </c>
      <c r="AL3" s="25">
        <f>U3</f>
        <v>10000</v>
      </c>
      <c r="AM3" s="24">
        <f t="shared" ref="AM3:AM4" si="15">AA3+AC3+AD3+AB3+AE3+AF3+AG3+AH3+AI3+AJ3+AK3+AL3</f>
        <v>-3289397.0967741935</v>
      </c>
      <c r="AN3" s="24">
        <f t="shared" ref="AN3:AN4" si="16">AM3</f>
        <v>-3289397.0967741935</v>
      </c>
      <c r="AO3" s="49">
        <f t="shared" ref="AO3" si="17">IF(AN3&lt;=150000, 0, IF(AN3&lt;=228333,AN3* 6.38%-9570, IF(AN3&lt;=262500,AN3* 21.95%-45119, IF(AN3&lt;=294167,AN3* 31.58%-70398, IF(AN3&lt;=323333,AN3* 42.86%-103580,AN3* 56.25%-146875)))))</f>
        <v>0</v>
      </c>
      <c r="AP3" s="24">
        <f t="shared" ref="AP3:AP4" si="18">(AA3+AB3)*0.12</f>
        <v>-187548.38709677415</v>
      </c>
      <c r="AQ3" s="25">
        <f t="shared" ref="AQ3:AQ4" si="19">(AA3+AB3)*0.08</f>
        <v>-125032.25806451612</v>
      </c>
      <c r="AR3" s="25">
        <f t="shared" ref="AR3:AR4" si="20">AP3+AQ3</f>
        <v>-312580.6451612903</v>
      </c>
      <c r="AS3" s="24">
        <f t="shared" ref="AS3:AS4" si="21">(AA3+AB3)*0.03</f>
        <v>-46887.096774193538</v>
      </c>
      <c r="AT3" s="25">
        <f t="shared" ref="AT3:AT4" si="22">AN3-AQ3</f>
        <v>-3164364.8387096776</v>
      </c>
      <c r="AU3" s="26">
        <f t="shared" ref="AU3:AU4" si="23">AT3/300</f>
        <v>-10547.882795698924</v>
      </c>
      <c r="AV3" s="45">
        <f t="shared" ref="AV3:AV4" si="24">AM3+AO3+AP3+AS3</f>
        <v>-3523832.5806451612</v>
      </c>
      <c r="AW3" s="43">
        <f t="shared" ref="AW3:AW4" si="25">AV3/300</f>
        <v>-11746.108602150538</v>
      </c>
      <c r="AX3" s="27"/>
    </row>
    <row r="4" spans="1:50" s="16" customFormat="1" ht="15" customHeight="1" x14ac:dyDescent="0.3">
      <c r="A4" s="17" t="s">
        <v>50</v>
      </c>
      <c r="B4" s="18" t="s">
        <v>48</v>
      </c>
      <c r="C4" s="18" t="s">
        <v>45</v>
      </c>
      <c r="D4" s="18" t="s">
        <v>43</v>
      </c>
      <c r="E4" s="18" t="s">
        <v>44</v>
      </c>
      <c r="F4" s="18"/>
      <c r="G4" s="18"/>
      <c r="H4" s="19">
        <v>42478</v>
      </c>
      <c r="I4" s="20">
        <v>30000</v>
      </c>
      <c r="J4" s="20">
        <v>10000</v>
      </c>
      <c r="K4" s="20">
        <v>40000</v>
      </c>
      <c r="L4" s="21">
        <f t="shared" si="0"/>
        <v>80000</v>
      </c>
      <c r="M4" s="20">
        <v>0</v>
      </c>
      <c r="N4" s="21">
        <v>30000</v>
      </c>
      <c r="O4" s="21">
        <v>0</v>
      </c>
      <c r="P4" s="21">
        <f t="shared" si="1"/>
        <v>1290</v>
      </c>
      <c r="Q4" s="21">
        <v>0</v>
      </c>
      <c r="R4" s="20">
        <v>3257</v>
      </c>
      <c r="S4" s="20">
        <v>0</v>
      </c>
      <c r="T4" s="20">
        <v>25000</v>
      </c>
      <c r="U4" s="21">
        <v>0</v>
      </c>
      <c r="V4" s="21">
        <f t="shared" si="2"/>
        <v>59547</v>
      </c>
      <c r="W4" s="21">
        <f t="shared" si="3"/>
        <v>139547</v>
      </c>
      <c r="X4" s="22">
        <v>31</v>
      </c>
      <c r="Y4" s="23">
        <v>0</v>
      </c>
      <c r="Z4" s="23">
        <f>X4-Y4</f>
        <v>31</v>
      </c>
      <c r="AA4" s="24">
        <f t="shared" si="4"/>
        <v>30000</v>
      </c>
      <c r="AB4" s="25">
        <f t="shared" si="5"/>
        <v>10000</v>
      </c>
      <c r="AC4" s="25">
        <f t="shared" si="6"/>
        <v>40000</v>
      </c>
      <c r="AD4" s="25">
        <f t="shared" si="7"/>
        <v>0</v>
      </c>
      <c r="AE4" s="25">
        <f t="shared" si="8"/>
        <v>30000</v>
      </c>
      <c r="AF4" s="24">
        <f t="shared" si="9"/>
        <v>0</v>
      </c>
      <c r="AG4" s="25">
        <f t="shared" si="10"/>
        <v>3257</v>
      </c>
      <c r="AH4" s="24">
        <f t="shared" si="11"/>
        <v>1290</v>
      </c>
      <c r="AI4" s="21">
        <f t="shared" si="12"/>
        <v>0</v>
      </c>
      <c r="AJ4" s="21">
        <f t="shared" si="13"/>
        <v>0</v>
      </c>
      <c r="AK4" s="21">
        <f t="shared" si="14"/>
        <v>25000</v>
      </c>
      <c r="AL4" s="25">
        <f t="shared" ref="AL4" si="26">U4</f>
        <v>0</v>
      </c>
      <c r="AM4" s="24">
        <f t="shared" si="15"/>
        <v>139547</v>
      </c>
      <c r="AN4" s="24">
        <f t="shared" si="16"/>
        <v>139547</v>
      </c>
      <c r="AO4" s="49">
        <v>0</v>
      </c>
      <c r="AP4" s="24">
        <f t="shared" si="18"/>
        <v>4800</v>
      </c>
      <c r="AQ4" s="25">
        <f t="shared" si="19"/>
        <v>3200</v>
      </c>
      <c r="AR4" s="25">
        <f t="shared" si="20"/>
        <v>8000</v>
      </c>
      <c r="AS4" s="24">
        <f t="shared" si="21"/>
        <v>1200</v>
      </c>
      <c r="AT4" s="25">
        <f t="shared" si="22"/>
        <v>136347</v>
      </c>
      <c r="AU4" s="26">
        <f t="shared" si="23"/>
        <v>454.49</v>
      </c>
      <c r="AV4" s="45">
        <f t="shared" si="24"/>
        <v>145547</v>
      </c>
      <c r="AW4" s="46">
        <f t="shared" si="25"/>
        <v>485.15666666666669</v>
      </c>
      <c r="AX4" s="27"/>
    </row>
    <row r="5" spans="1:50" x14ac:dyDescent="0.3">
      <c r="M5" s="50" t="s">
        <v>51</v>
      </c>
      <c r="N5" s="50"/>
      <c r="O5" s="50"/>
      <c r="P5" s="50"/>
      <c r="Q5" s="50"/>
      <c r="R5" s="50"/>
      <c r="S5" s="50"/>
      <c r="T5" s="50"/>
      <c r="U5" s="50"/>
      <c r="V5" s="50"/>
    </row>
  </sheetData>
  <autoFilter ref="A2:AX4" xr:uid="{00000000-0001-0000-0000-000000000000}">
    <filterColumn colId="45" showButton="0"/>
    <filterColumn colId="47" showButton="0"/>
  </autoFilter>
  <mergeCells count="6">
    <mergeCell ref="M5:V5"/>
    <mergeCell ref="I1:L1"/>
    <mergeCell ref="AV2:AW2"/>
    <mergeCell ref="AT2:AU2"/>
    <mergeCell ref="M1:V1"/>
    <mergeCell ref="W1:W2"/>
  </mergeCells>
  <phoneticPr fontId="7" type="noConversion"/>
  <conditionalFormatting sqref="AX3:AX4">
    <cfRule type="cellIs" dxfId="0" priority="12" operator="notBetween">
      <formula>0</formula>
      <formula>999999999999</formula>
    </cfRule>
  </conditionalFormatting>
  <dataValidations count="1">
    <dataValidation type="whole" allowBlank="1" showInputMessage="1" showErrorMessage="1" errorTitle="PAYMASTER File Creator" error="Enter the amount without decimal point maximum upto 12 digits. Example: for Rs. 100.00 enter 10000." sqref="AX3:AX4" xr:uid="{00000000-0002-0000-0000-000000000000}">
      <formula1>0</formula1>
      <formula2>999999999999</formula2>
    </dataValidation>
  </dataValidations>
  <pageMargins left="0.7" right="0.7" top="0.75" bottom="0.75" header="0.3" footer="0.3"/>
  <pageSetup orientation="portrait" r:id="rId1"/>
  <ignoredErrors>
    <ignoredError sqref="L3:L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Shanka</dc:creator>
  <cp:keywords/>
  <dc:description/>
  <cp:lastModifiedBy>Rehan Peter</cp:lastModifiedBy>
  <cp:revision/>
  <dcterms:created xsi:type="dcterms:W3CDTF">2017-12-12T19:47:05Z</dcterms:created>
  <dcterms:modified xsi:type="dcterms:W3CDTF">2026-04-08T10:22:42Z</dcterms:modified>
  <cp:category/>
  <cp:contentStatus/>
</cp:coreProperties>
</file>